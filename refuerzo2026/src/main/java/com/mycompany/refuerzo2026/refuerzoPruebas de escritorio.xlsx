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ith\Desktop\"/>
    </mc:Choice>
  </mc:AlternateContent>
  <xr:revisionPtr revIDLastSave="0" documentId="13_ncr:1_{634DAFF2-2814-4D9E-9631-41E51F36696E}" xr6:coauthVersionLast="47" xr6:coauthVersionMax="47" xr10:uidLastSave="{00000000-0000-0000-0000-000000000000}"/>
  <bookViews>
    <workbookView xWindow="-120" yWindow="-120" windowWidth="29040" windowHeight="15720" xr2:uid="{36E9C756-5E25-4D07-9ECD-FECF81213D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54" i="1" l="1"/>
  <c r="AI55" i="1"/>
  <c r="AI56" i="1" s="1"/>
  <c r="AI53" i="1"/>
  <c r="AJ53" i="1" s="1"/>
  <c r="AK53" i="1" s="1"/>
  <c r="AI42" i="1"/>
  <c r="AI43" i="1" s="1"/>
  <c r="AI41" i="1"/>
  <c r="AI30" i="1"/>
  <c r="AI31" i="1"/>
  <c r="AI32" i="1" s="1"/>
  <c r="AI29" i="1"/>
  <c r="AI18" i="1"/>
  <c r="AI19" i="1" s="1"/>
  <c r="AI17" i="1"/>
  <c r="AK17" i="1" s="1"/>
  <c r="AI5" i="1"/>
  <c r="AJ5" i="1" s="1"/>
  <c r="AK5" i="1" s="1"/>
  <c r="AK28" i="1"/>
  <c r="AK29" i="1"/>
  <c r="AK30" i="1"/>
  <c r="AK31" i="1"/>
  <c r="AK54" i="1"/>
  <c r="AK55" i="1"/>
  <c r="AJ16" i="1"/>
  <c r="AK16" i="1" s="1"/>
  <c r="AJ17" i="1"/>
  <c r="AJ18" i="1"/>
  <c r="AJ28" i="1"/>
  <c r="AJ29" i="1"/>
  <c r="AJ30" i="1"/>
  <c r="AJ31" i="1"/>
  <c r="AJ40" i="1"/>
  <c r="AK40" i="1" s="1"/>
  <c r="AJ41" i="1"/>
  <c r="AK41" i="1" s="1"/>
  <c r="AJ42" i="1"/>
  <c r="AJ52" i="1"/>
  <c r="AK52" i="1" s="1"/>
  <c r="AJ54" i="1"/>
  <c r="AJ55" i="1"/>
  <c r="AJ4" i="1"/>
  <c r="AK4" i="1" s="1"/>
  <c r="AF5" i="1"/>
  <c r="AF7" i="1"/>
  <c r="AF8" i="1"/>
  <c r="AF10" i="1"/>
  <c r="AF11" i="1"/>
  <c r="AF13" i="1"/>
  <c r="AF14" i="1"/>
  <c r="AF16" i="1"/>
  <c r="AF4" i="1"/>
  <c r="AC7" i="1"/>
  <c r="AC10" i="1"/>
  <c r="AC13" i="1"/>
  <c r="AC16" i="1"/>
  <c r="AC4" i="1"/>
  <c r="X7" i="1"/>
  <c r="X10" i="1"/>
  <c r="X13" i="1"/>
  <c r="X16" i="1"/>
  <c r="X4" i="1"/>
  <c r="U7" i="1"/>
  <c r="U10" i="1"/>
  <c r="U13" i="1"/>
  <c r="U16" i="1"/>
  <c r="U4" i="1"/>
  <c r="P25" i="1"/>
  <c r="P26" i="1"/>
  <c r="Q26" i="1" s="1"/>
  <c r="P20" i="1"/>
  <c r="P21" i="1"/>
  <c r="Q21" i="1" s="1"/>
  <c r="P15" i="1"/>
  <c r="P16" i="1"/>
  <c r="Q16" i="1" s="1"/>
  <c r="P24" i="1"/>
  <c r="P19" i="1"/>
  <c r="P14" i="1"/>
  <c r="P10" i="1"/>
  <c r="P11" i="1"/>
  <c r="Q11" i="1" s="1"/>
  <c r="P9" i="1"/>
  <c r="P6" i="1"/>
  <c r="Q6" i="1" s="1"/>
  <c r="P5" i="1"/>
  <c r="P4" i="1"/>
  <c r="L7" i="1"/>
  <c r="L10" i="1"/>
  <c r="L13" i="1"/>
  <c r="L16" i="1"/>
  <c r="L4" i="1"/>
  <c r="H7" i="1"/>
  <c r="I7" i="1"/>
  <c r="H10" i="1"/>
  <c r="I10" i="1"/>
  <c r="H13" i="1"/>
  <c r="I13" i="1"/>
  <c r="H16" i="1"/>
  <c r="I16" i="1"/>
  <c r="I4" i="1"/>
  <c r="H4" i="1"/>
  <c r="D16" i="1"/>
  <c r="D15" i="1"/>
  <c r="D13" i="1"/>
  <c r="D12" i="1"/>
  <c r="D10" i="1"/>
  <c r="D9" i="1"/>
  <c r="D4" i="1"/>
  <c r="D6" i="1"/>
  <c r="D7" i="1"/>
  <c r="AJ56" i="1" l="1"/>
  <c r="AK56" i="1"/>
  <c r="AI57" i="1"/>
  <c r="AI44" i="1"/>
  <c r="AJ43" i="1"/>
  <c r="AK43" i="1"/>
  <c r="AK42" i="1"/>
  <c r="AK32" i="1"/>
  <c r="AI33" i="1"/>
  <c r="AJ32" i="1"/>
  <c r="AJ19" i="1"/>
  <c r="AI20" i="1"/>
  <c r="AK19" i="1"/>
  <c r="AK18" i="1"/>
  <c r="AI6" i="1"/>
  <c r="AK57" i="1" l="1"/>
  <c r="AJ57" i="1"/>
  <c r="AI58" i="1"/>
  <c r="AK44" i="1"/>
  <c r="AJ44" i="1"/>
  <c r="AI45" i="1"/>
  <c r="AJ33" i="1"/>
  <c r="AK33" i="1"/>
  <c r="AI34" i="1"/>
  <c r="AJ20" i="1"/>
  <c r="AK20" i="1"/>
  <c r="AI21" i="1"/>
  <c r="AJ6" i="1"/>
  <c r="AK6" i="1" s="1"/>
  <c r="AI7" i="1"/>
  <c r="AJ58" i="1" l="1"/>
  <c r="AK58" i="1" s="1"/>
  <c r="AI59" i="1"/>
  <c r="AJ45" i="1"/>
  <c r="AK45" i="1" s="1"/>
  <c r="AI46" i="1"/>
  <c r="AJ34" i="1"/>
  <c r="AK34" i="1"/>
  <c r="AI35" i="1"/>
  <c r="AK21" i="1"/>
  <c r="AJ21" i="1"/>
  <c r="AI22" i="1"/>
  <c r="AI8" i="1"/>
  <c r="AJ7" i="1"/>
  <c r="AK7" i="1" s="1"/>
  <c r="AJ59" i="1" l="1"/>
  <c r="AK59" i="1" s="1"/>
  <c r="AI60" i="1"/>
  <c r="AJ46" i="1"/>
  <c r="AK46" i="1"/>
  <c r="AI47" i="1"/>
  <c r="AJ35" i="1"/>
  <c r="AK35" i="1"/>
  <c r="AI36" i="1"/>
  <c r="AJ22" i="1"/>
  <c r="AI23" i="1"/>
  <c r="AK22" i="1"/>
  <c r="AJ8" i="1"/>
  <c r="AK8" i="1" s="1"/>
  <c r="AI9" i="1"/>
  <c r="AJ60" i="1" l="1"/>
  <c r="AK60" i="1"/>
  <c r="AI61" i="1"/>
  <c r="AI48" i="1"/>
  <c r="AJ47" i="1"/>
  <c r="AK47" i="1" s="1"/>
  <c r="AJ36" i="1"/>
  <c r="AK36" i="1" s="1"/>
  <c r="AI37" i="1"/>
  <c r="AJ23" i="1"/>
  <c r="AI24" i="1"/>
  <c r="AK23" i="1"/>
  <c r="AJ9" i="1"/>
  <c r="AK9" i="1" s="1"/>
  <c r="AI10" i="1"/>
  <c r="AJ61" i="1" l="1"/>
  <c r="AK61" i="1" s="1"/>
  <c r="AJ48" i="1"/>
  <c r="AK48" i="1" s="1"/>
  <c r="AI49" i="1"/>
  <c r="AJ37" i="1"/>
  <c r="AK37" i="1"/>
  <c r="AJ24" i="1"/>
  <c r="AK24" i="1" s="1"/>
  <c r="AI25" i="1"/>
  <c r="AI11" i="1"/>
  <c r="AJ10" i="1"/>
  <c r="AK10" i="1" s="1"/>
  <c r="AK49" i="1" l="1"/>
  <c r="AJ49" i="1"/>
  <c r="AK25" i="1"/>
  <c r="AJ25" i="1"/>
  <c r="AJ11" i="1"/>
  <c r="AK11" i="1" s="1"/>
  <c r="AI12" i="1"/>
  <c r="AI13" i="1" l="1"/>
  <c r="AJ13" i="1" s="1"/>
  <c r="AK13" i="1" s="1"/>
  <c r="AJ12" i="1"/>
  <c r="AK12" i="1" s="1"/>
</calcChain>
</file>

<file path=xl/sharedStrings.xml><?xml version="1.0" encoding="utf-8"?>
<sst xmlns="http://schemas.openxmlformats.org/spreadsheetml/2006/main" count="78" uniqueCount="38">
  <si>
    <t xml:space="preserve">Cálculo de salario semanal 
Un trabajador recibe un pago fijo por hora. 
El programa debe solicitar la cantidad de horas trabajadas en la semana y el pago por hora, y calcular el salario semanal total. </t>
  </si>
  <si>
    <t>Suma de números Diseñar un algoritmo que sume los primeros N números naturales, donde N es ingresado por el usuario.</t>
  </si>
  <si>
    <t>Contador de positivos y negativos El programa debe pedir números hasta que el usuario ingrese 0. Al final, debe mostrar cuántos números fueron positivos y cuántos fueron negativos.</t>
  </si>
  <si>
    <t>Número mayor y menor El usuario ingresará varios números hasta ingresar -1. El programa debe mostrar el número mayor y el número menor de todos los valores ingresados.</t>
  </si>
  <si>
    <t>Promedio de un arreglo Diseñar un algoritmo que almacene 10 números en un arreglo y calcule el promedio, el número mayor y el menor.</t>
  </si>
  <si>
    <t>Búsqueda de un valor en un arreglo Dado un arreglo de números, el usuario ingresa un valor y el programa debe indicar si dicho valor existe o no dentro del arreglo.</t>
  </si>
  <si>
    <t>Sistema de estudiantes (Programación Orientada a Objetos) Diseñar una clase Estudiante que tenga como atributos: nombre, matrícula y tres calificaciones. El programa debe permitir crear un estudiante, calcular su promedio y mostrar si aprueba o reprueba.</t>
  </si>
  <si>
    <t>Variables</t>
  </si>
  <si>
    <t>pagoHoras</t>
  </si>
  <si>
    <t>horasTrabajadas</t>
  </si>
  <si>
    <t>totalPago</t>
  </si>
  <si>
    <t>Área de un rectángulo 
Diseñar un algoritmo que reciba la base y la altura de un rectángulo y muestre su área y su perímetro.</t>
  </si>
  <si>
    <t>Conversión de monedas 
Crear un algoritmo que reciba una cantidad de dinero en dólares y la convierta a euros, sabiendo que 1 dólar equivale a 0.92 euros.</t>
  </si>
  <si>
    <t>base</t>
  </si>
  <si>
    <t>altura</t>
  </si>
  <si>
    <t>perimetro</t>
  </si>
  <si>
    <t>area</t>
  </si>
  <si>
    <t xml:space="preserve">Promedio de notas 
Un estudiante tiene tres calificaciones. 
El programa debe calcular y mostrar el promedio final. </t>
  </si>
  <si>
    <t>dolares</t>
  </si>
  <si>
    <t>euros</t>
  </si>
  <si>
    <t>nota</t>
  </si>
  <si>
    <t>sumaNota</t>
  </si>
  <si>
    <t>promedio</t>
  </si>
  <si>
    <t>i</t>
  </si>
  <si>
    <t>Resultado</t>
  </si>
  <si>
    <t>num2</t>
  </si>
  <si>
    <t>num1</t>
  </si>
  <si>
    <t>-</t>
  </si>
  <si>
    <t>Comparación de dos números 
Diseñar un algoritmo que lea dos números enteros e indique si el primer número es mayor, si el segundo es mayor o si ambos son iguales.</t>
  </si>
  <si>
    <t>Aprobado o reprobado 
Un estudiante aprueba si su nota es mayor o igual a 60. 
El programa debe mostrar si el estudiante aprueba o reprueba según su calificación.</t>
  </si>
  <si>
    <t xml:space="preserve">Mayor de tres números 
Diseñar un algoritmo que lea tres números distintos y muestre cuál es el mayor. </t>
  </si>
  <si>
    <t>num3</t>
  </si>
  <si>
    <t>Descuento en una compra 
Si el monto de una compra es mayor a 100, se aplica un 10% de descuento. 
El algoritmo debe mostrar el total a pagar.</t>
  </si>
  <si>
    <t>monto</t>
  </si>
  <si>
    <t>descuento</t>
  </si>
  <si>
    <t>Tabla de multiplicar 
El usuario ingresa un número y el programa muestra su tabla de multiplicar del 1 al 10.</t>
  </si>
  <si>
    <t>num</t>
  </si>
  <si>
    <t>multiplicacion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</si>
</sst>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0.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Inherit"/>
    </font>
    <font>
      <sz val="9"/>
      <color theme="1"/>
      <name val="Noto Sans"/>
      <family val="2"/>
    </font>
    <font>
      <sz val="9"/>
      <color rgb="FFFF0000"/>
      <name val="Inherit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center" vertical="center"/>
    </xf>
    <xf numFmtId="44" fontId="0" fillId="0" borderId="2" xfId="1" applyFont="1" applyBorder="1"/>
    <xf numFmtId="0" fontId="0" fillId="0" borderId="3" xfId="0" applyBorder="1"/>
    <xf numFmtId="44" fontId="2" fillId="0" borderId="4" xfId="1" applyFont="1" applyBorder="1" applyAlignment="1">
      <alignment horizontal="center" vertical="center" wrapText="1"/>
    </xf>
    <xf numFmtId="44" fontId="0" fillId="0" borderId="5" xfId="1" applyFont="1" applyBorder="1"/>
    <xf numFmtId="44" fontId="2" fillId="0" borderId="7" xfId="1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/>
    <xf numFmtId="44" fontId="0" fillId="0" borderId="8" xfId="1" applyFont="1" applyBorder="1"/>
    <xf numFmtId="0" fontId="0" fillId="0" borderId="0" xfId="0" applyBorder="1" applyAlignment="1">
      <alignment horizontal="center"/>
    </xf>
    <xf numFmtId="44" fontId="2" fillId="0" borderId="9" xfId="1" applyFont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2" borderId="1" xfId="0" applyFill="1" applyBorder="1"/>
    <xf numFmtId="0" fontId="0" fillId="0" borderId="8" xfId="0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44" fontId="2" fillId="0" borderId="0" xfId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44" fontId="2" fillId="0" borderId="8" xfId="1" applyFont="1" applyBorder="1" applyAlignment="1">
      <alignment horizontal="center" vertical="center" wrapText="1"/>
    </xf>
    <xf numFmtId="44" fontId="2" fillId="0" borderId="5" xfId="1" applyFont="1" applyBorder="1" applyAlignment="1">
      <alignment horizontal="center" vertical="center" wrapText="1"/>
    </xf>
    <xf numFmtId="44" fontId="2" fillId="0" borderId="6" xfId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" fontId="2" fillId="0" borderId="0" xfId="1" applyNumberFormat="1" applyFont="1" applyBorder="1" applyAlignment="1">
      <alignment horizontal="center" vertical="center" wrapText="1"/>
    </xf>
    <xf numFmtId="0" fontId="2" fillId="0" borderId="0" xfId="1" applyNumberFormat="1" applyFont="1" applyBorder="1" applyAlignment="1">
      <alignment horizontal="center" vertical="center" wrapText="1"/>
    </xf>
    <xf numFmtId="0" fontId="0" fillId="0" borderId="0" xfId="0" applyNumberFormat="1"/>
    <xf numFmtId="0" fontId="2" fillId="0" borderId="8" xfId="1" applyNumberFormat="1" applyFont="1" applyBorder="1" applyAlignment="1">
      <alignment horizontal="center" vertical="center" wrapText="1"/>
    </xf>
    <xf numFmtId="0" fontId="2" fillId="0" borderId="9" xfId="1" applyNumberFormat="1" applyFont="1" applyBorder="1" applyAlignment="1">
      <alignment horizontal="center" vertical="center" wrapText="1"/>
    </xf>
    <xf numFmtId="0" fontId="0" fillId="0" borderId="8" xfId="0" applyNumberForma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 wrapText="1"/>
    </xf>
    <xf numFmtId="0" fontId="2" fillId="0" borderId="2" xfId="1" applyNumberFormat="1" applyFont="1" applyBorder="1" applyAlignment="1">
      <alignment horizontal="center" vertical="center" wrapText="1"/>
    </xf>
    <xf numFmtId="0" fontId="2" fillId="0" borderId="3" xfId="1" applyNumberFormat="1" applyFont="1" applyBorder="1" applyAlignment="1">
      <alignment horizontal="center" vertical="center" wrapText="1"/>
    </xf>
    <xf numFmtId="0" fontId="2" fillId="0" borderId="4" xfId="1" applyNumberFormat="1" applyFont="1" applyBorder="1" applyAlignment="1">
      <alignment horizontal="center" vertical="center" wrapText="1"/>
    </xf>
    <xf numFmtId="0" fontId="2" fillId="0" borderId="5" xfId="1" applyNumberFormat="1" applyFont="1" applyBorder="1" applyAlignment="1">
      <alignment horizontal="center" vertical="center" wrapText="1"/>
    </xf>
    <xf numFmtId="0" fontId="2" fillId="0" borderId="6" xfId="1" applyNumberFormat="1" applyFont="1" applyBorder="1" applyAlignment="1">
      <alignment horizontal="center" vertical="center" wrapText="1"/>
    </xf>
    <xf numFmtId="0" fontId="2" fillId="0" borderId="7" xfId="1" applyNumberFormat="1" applyFont="1" applyBorder="1" applyAlignment="1">
      <alignment horizontal="center" vertical="center" wrapText="1"/>
    </xf>
    <xf numFmtId="44" fontId="2" fillId="0" borderId="2" xfId="1" applyFont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164" fontId="2" fillId="0" borderId="0" xfId="1" applyNumberFormat="1" applyFont="1" applyBorder="1" applyAlignment="1">
      <alignment horizontal="center" vertical="center" wrapText="1"/>
    </xf>
    <xf numFmtId="2" fontId="0" fillId="0" borderId="0" xfId="0" applyNumberFormat="1" applyBorder="1" applyAlignment="1">
      <alignment horizontal="center" vertical="center"/>
    </xf>
    <xf numFmtId="44" fontId="2" fillId="0" borderId="3" xfId="1" applyFont="1" applyBorder="1" applyAlignment="1">
      <alignment horizontal="center" vertical="center" wrapText="1"/>
    </xf>
    <xf numFmtId="0" fontId="2" fillId="2" borderId="15" xfId="0" applyNumberFormat="1" applyFont="1" applyFill="1" applyBorder="1" applyAlignment="1">
      <alignment horizontal="center" vertical="center" wrapText="1"/>
    </xf>
    <xf numFmtId="164" fontId="2" fillId="0" borderId="9" xfId="1" applyNumberFormat="1" applyFont="1" applyBorder="1" applyAlignment="1">
      <alignment horizontal="center" vertical="center" wrapText="1"/>
    </xf>
    <xf numFmtId="2" fontId="2" fillId="0" borderId="9" xfId="1" applyNumberFormat="1" applyFont="1" applyBorder="1" applyAlignment="1">
      <alignment horizontal="center" vertical="center" wrapText="1"/>
    </xf>
    <xf numFmtId="2" fontId="0" fillId="0" borderId="9" xfId="0" applyNumberFormat="1" applyBorder="1" applyAlignment="1">
      <alignment horizontal="center" vertical="center"/>
    </xf>
    <xf numFmtId="0" fontId="0" fillId="0" borderId="0" xfId="0" applyBorder="1"/>
    <xf numFmtId="0" fontId="0" fillId="0" borderId="9" xfId="0" applyBorder="1"/>
    <xf numFmtId="164" fontId="2" fillId="0" borderId="6" xfId="1" applyNumberFormat="1" applyFont="1" applyBorder="1" applyAlignment="1">
      <alignment horizontal="center" vertical="center" wrapText="1"/>
    </xf>
    <xf numFmtId="164" fontId="2" fillId="0" borderId="7" xfId="1" applyNumberFormat="1" applyFont="1" applyBorder="1" applyAlignment="1">
      <alignment horizontal="center" vertical="center" wrapText="1"/>
    </xf>
    <xf numFmtId="0" fontId="2" fillId="0" borderId="10" xfId="1" applyNumberFormat="1" applyFont="1" applyBorder="1" applyAlignment="1">
      <alignment horizontal="center" vertical="center" wrapText="1"/>
    </xf>
    <xf numFmtId="0" fontId="0" fillId="0" borderId="10" xfId="0" applyNumberFormat="1" applyBorder="1" applyAlignment="1">
      <alignment horizontal="center" vertical="center"/>
    </xf>
    <xf numFmtId="0" fontId="2" fillId="2" borderId="12" xfId="0" applyNumberFormat="1" applyFont="1" applyFill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2" fillId="0" borderId="3" xfId="0" applyNumberFormat="1" applyFont="1" applyFill="1" applyBorder="1" applyAlignment="1">
      <alignment horizontal="center" vertical="center" wrapText="1"/>
    </xf>
    <xf numFmtId="0" fontId="2" fillId="0" borderId="13" xfId="0" applyNumberFormat="1" applyFont="1" applyFill="1" applyBorder="1" applyAlignment="1">
      <alignment horizontal="center" vertical="center" wrapText="1"/>
    </xf>
    <xf numFmtId="0" fontId="2" fillId="0" borderId="15" xfId="0" applyNumberFormat="1" applyFont="1" applyFill="1" applyBorder="1" applyAlignment="1">
      <alignment horizontal="center" vertical="center" wrapText="1"/>
    </xf>
    <xf numFmtId="0" fontId="2" fillId="0" borderId="14" xfId="0" applyNumberFormat="1" applyFont="1" applyFill="1" applyBorder="1" applyAlignment="1">
      <alignment horizontal="center" vertical="center" wrapText="1"/>
    </xf>
    <xf numFmtId="0" fontId="4" fillId="0" borderId="15" xfId="0" applyNumberFormat="1" applyFont="1" applyFill="1" applyBorder="1" applyAlignment="1">
      <alignment horizontal="center" vertical="center" wrapText="1"/>
    </xf>
    <xf numFmtId="0" fontId="2" fillId="0" borderId="9" xfId="1" applyNumberFormat="1" applyFont="1" applyBorder="1" applyAlignment="1">
      <alignment horizontal="center" vertical="center"/>
    </xf>
    <xf numFmtId="0" fontId="2" fillId="0" borderId="7" xfId="1" applyNumberFormat="1" applyFont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2" fillId="0" borderId="12" xfId="1" applyNumberFormat="1" applyFont="1" applyBorder="1" applyAlignment="1">
      <alignment horizontal="center" vertical="center" wrapText="1"/>
    </xf>
    <xf numFmtId="0" fontId="2" fillId="0" borderId="11" xfId="1" applyNumberFormat="1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0" xfId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91E8C-63AB-465A-81B0-6C70892BBD0F}">
  <dimension ref="A1:BF64"/>
  <sheetViews>
    <sheetView tabSelected="1" zoomScale="115" zoomScaleNormal="115" workbookViewId="0">
      <selection activeCell="AI5" sqref="AI5"/>
    </sheetView>
  </sheetViews>
  <sheetFormatPr baseColWidth="10" defaultRowHeight="15"/>
  <cols>
    <col min="1" max="1" width="10" bestFit="1" customWidth="1"/>
    <col min="2" max="2" width="13.28515625" bestFit="1" customWidth="1"/>
    <col min="3" max="3" width="16.85546875" bestFit="1" customWidth="1"/>
    <col min="4" max="4" width="12.140625" bestFit="1" customWidth="1"/>
    <col min="5" max="5" width="8.42578125" bestFit="1" customWidth="1"/>
    <col min="6" max="6" width="5" bestFit="1" customWidth="1"/>
    <col min="7" max="7" width="5.42578125" bestFit="1" customWidth="1"/>
    <col min="8" max="8" width="8.5703125" bestFit="1" customWidth="1"/>
    <col min="9" max="9" width="4.5703125" bestFit="1" customWidth="1"/>
    <col min="10" max="10" width="8.42578125" bestFit="1" customWidth="1"/>
    <col min="11" max="12" width="8.7109375" bestFit="1" customWidth="1"/>
    <col min="13" max="13" width="8.42578125" bestFit="1" customWidth="1"/>
    <col min="14" max="14" width="2.140625" bestFit="1" customWidth="1"/>
    <col min="15" max="15" width="4.5703125" bestFit="1" customWidth="1"/>
    <col min="16" max="16" width="9.28515625" bestFit="1" customWidth="1"/>
    <col min="17" max="17" width="8.5703125" bestFit="1" customWidth="1"/>
    <col min="18" max="18" width="8.42578125" bestFit="1" customWidth="1"/>
    <col min="19" max="20" width="5.5703125" bestFit="1" customWidth="1"/>
    <col min="21" max="21" width="17.85546875" bestFit="1" customWidth="1"/>
    <col min="22" max="22" width="8.42578125" bestFit="1" customWidth="1"/>
    <col min="23" max="23" width="4.5703125" bestFit="1" customWidth="1"/>
    <col min="24" max="24" width="9.140625" bestFit="1" customWidth="1"/>
    <col min="25" max="25" width="8.42578125" bestFit="1" customWidth="1"/>
    <col min="26" max="28" width="5.5703125" bestFit="1" customWidth="1"/>
    <col min="29" max="29" width="17.85546875" bestFit="1" customWidth="1"/>
    <col min="30" max="30" width="8.42578125" bestFit="1" customWidth="1"/>
    <col min="31" max="32" width="12.140625" customWidth="1"/>
    <col min="33" max="33" width="8.42578125" bestFit="1" customWidth="1"/>
    <col min="34" max="34" width="3.42578125" bestFit="1" customWidth="1"/>
    <col min="35" max="35" width="4.5703125" bestFit="1" customWidth="1"/>
    <col min="36" max="36" width="11.85546875" bestFit="1" customWidth="1"/>
    <col min="37" max="37" width="13" bestFit="1" customWidth="1"/>
    <col min="38" max="55" width="12.140625" customWidth="1"/>
  </cols>
  <sheetData>
    <row r="1" spans="1:58" ht="100.5" customHeight="1">
      <c r="A1" s="88" t="s">
        <v>0</v>
      </c>
      <c r="B1" s="89"/>
      <c r="C1" s="89"/>
      <c r="D1" s="90"/>
      <c r="E1" s="81" t="s">
        <v>11</v>
      </c>
      <c r="F1" s="82"/>
      <c r="G1" s="82"/>
      <c r="H1" s="82"/>
      <c r="I1" s="83"/>
      <c r="J1" s="81" t="s">
        <v>12</v>
      </c>
      <c r="K1" s="82"/>
      <c r="L1" s="83"/>
      <c r="M1" s="84" t="s">
        <v>17</v>
      </c>
      <c r="N1" s="84"/>
      <c r="O1" s="84"/>
      <c r="P1" s="84"/>
      <c r="Q1" s="84"/>
      <c r="R1" s="80" t="s">
        <v>28</v>
      </c>
      <c r="S1" s="85"/>
      <c r="T1" s="85"/>
      <c r="U1" s="85"/>
      <c r="V1" s="80" t="s">
        <v>29</v>
      </c>
      <c r="W1" s="80"/>
      <c r="X1" s="80"/>
      <c r="Y1" s="80" t="s">
        <v>30</v>
      </c>
      <c r="Z1" s="80"/>
      <c r="AA1" s="80"/>
      <c r="AB1" s="80"/>
      <c r="AC1" s="80"/>
      <c r="AD1" s="80" t="s">
        <v>32</v>
      </c>
      <c r="AE1" s="80"/>
      <c r="AF1" s="86"/>
      <c r="AG1" s="80" t="s">
        <v>35</v>
      </c>
      <c r="AH1" s="80"/>
      <c r="AI1" s="80"/>
      <c r="AJ1" s="80"/>
      <c r="AK1" s="80"/>
      <c r="AL1" s="87" t="s">
        <v>1</v>
      </c>
      <c r="AM1" s="80"/>
      <c r="AN1" s="80"/>
      <c r="AO1" s="80" t="s">
        <v>2</v>
      </c>
      <c r="AP1" s="80"/>
      <c r="AQ1" s="80"/>
      <c r="AR1" s="80" t="s">
        <v>3</v>
      </c>
      <c r="AS1" s="80"/>
      <c r="AT1" s="80"/>
      <c r="AU1" s="80" t="s">
        <v>4</v>
      </c>
      <c r="AV1" s="80"/>
      <c r="AW1" s="80"/>
      <c r="AX1" s="80" t="s">
        <v>5</v>
      </c>
      <c r="AY1" s="80"/>
      <c r="AZ1" s="80"/>
      <c r="BA1" s="80" t="s">
        <v>6</v>
      </c>
      <c r="BB1" s="80"/>
      <c r="BC1" s="80"/>
    </row>
    <row r="2" spans="1:58">
      <c r="A2" s="15" t="s">
        <v>7</v>
      </c>
      <c r="B2" s="9" t="s">
        <v>8</v>
      </c>
      <c r="C2" s="3" t="s">
        <v>9</v>
      </c>
      <c r="D2" s="23" t="s">
        <v>10</v>
      </c>
      <c r="E2" s="40" t="s">
        <v>7</v>
      </c>
      <c r="F2" s="32" t="s">
        <v>13</v>
      </c>
      <c r="G2" s="32" t="s">
        <v>14</v>
      </c>
      <c r="H2" s="32" t="s">
        <v>15</v>
      </c>
      <c r="I2" s="32" t="s">
        <v>16</v>
      </c>
      <c r="J2" s="40" t="s">
        <v>7</v>
      </c>
      <c r="K2" s="32" t="s">
        <v>18</v>
      </c>
      <c r="L2" s="32" t="s">
        <v>19</v>
      </c>
      <c r="M2" s="54" t="s">
        <v>7</v>
      </c>
      <c r="N2" s="58" t="s">
        <v>23</v>
      </c>
      <c r="O2" s="32" t="s">
        <v>20</v>
      </c>
      <c r="P2" s="32" t="s">
        <v>21</v>
      </c>
      <c r="Q2" s="32" t="s">
        <v>22</v>
      </c>
      <c r="R2" s="54" t="s">
        <v>7</v>
      </c>
      <c r="S2" s="58" t="s">
        <v>26</v>
      </c>
      <c r="T2" s="58" t="s">
        <v>25</v>
      </c>
      <c r="U2" s="65" t="s">
        <v>24</v>
      </c>
      <c r="V2" s="54" t="s">
        <v>7</v>
      </c>
      <c r="W2" s="58" t="s">
        <v>20</v>
      </c>
      <c r="X2" s="65" t="s">
        <v>24</v>
      </c>
      <c r="Y2" s="54" t="s">
        <v>7</v>
      </c>
      <c r="Z2" s="59" t="s">
        <v>26</v>
      </c>
      <c r="AA2" s="61" t="s">
        <v>25</v>
      </c>
      <c r="AB2" s="61" t="s">
        <v>31</v>
      </c>
      <c r="AC2" s="62" t="s">
        <v>24</v>
      </c>
      <c r="AD2" s="54" t="s">
        <v>7</v>
      </c>
      <c r="AE2" s="59" t="s">
        <v>33</v>
      </c>
      <c r="AF2" s="61" t="s">
        <v>34</v>
      </c>
      <c r="AG2" s="40" t="s">
        <v>7</v>
      </c>
      <c r="AH2" s="61" t="s">
        <v>23</v>
      </c>
      <c r="AI2" s="61" t="s">
        <v>36</v>
      </c>
      <c r="AJ2" s="61" t="s">
        <v>37</v>
      </c>
      <c r="AK2" s="62" t="s">
        <v>24</v>
      </c>
      <c r="AL2" s="44" t="s">
        <v>7</v>
      </c>
      <c r="AM2" s="59"/>
      <c r="AN2" s="60"/>
      <c r="AO2" s="40" t="s">
        <v>7</v>
      </c>
      <c r="AP2" s="59"/>
      <c r="AQ2" s="60"/>
      <c r="AR2" s="40" t="s">
        <v>7</v>
      </c>
      <c r="AS2" s="59"/>
      <c r="AT2" s="60"/>
      <c r="AU2" s="40" t="s">
        <v>7</v>
      </c>
      <c r="AV2" s="59"/>
      <c r="AW2" s="60"/>
      <c r="AX2" s="40" t="s">
        <v>7</v>
      </c>
      <c r="AY2" s="59"/>
      <c r="AZ2" s="60"/>
      <c r="BA2" s="40" t="s">
        <v>7</v>
      </c>
      <c r="BB2" s="59"/>
      <c r="BC2" s="60"/>
      <c r="BD2" s="17"/>
      <c r="BF2" s="17"/>
    </row>
    <row r="3" spans="1:58">
      <c r="A3" s="76">
        <v>1</v>
      </c>
      <c r="B3" s="2">
        <v>0</v>
      </c>
      <c r="C3" s="7">
        <v>0</v>
      </c>
      <c r="D3" s="4">
        <v>0</v>
      </c>
      <c r="E3" s="79">
        <v>1</v>
      </c>
      <c r="F3" s="33">
        <v>0</v>
      </c>
      <c r="G3" s="34">
        <v>0</v>
      </c>
      <c r="H3" s="34">
        <v>0</v>
      </c>
      <c r="I3" s="35">
        <v>0</v>
      </c>
      <c r="J3" s="79">
        <v>1</v>
      </c>
      <c r="K3" s="39">
        <v>0</v>
      </c>
      <c r="L3" s="43">
        <v>0</v>
      </c>
      <c r="M3" s="74">
        <v>1</v>
      </c>
      <c r="N3" s="34">
        <v>1</v>
      </c>
      <c r="O3" s="34">
        <v>0</v>
      </c>
      <c r="P3" s="34">
        <v>0</v>
      </c>
      <c r="Q3" s="35">
        <v>0</v>
      </c>
      <c r="R3" s="74">
        <v>1</v>
      </c>
      <c r="S3" s="34">
        <v>0</v>
      </c>
      <c r="T3" s="34">
        <v>0</v>
      </c>
      <c r="U3" s="35" t="s">
        <v>27</v>
      </c>
      <c r="V3" s="74">
        <v>1</v>
      </c>
      <c r="W3" s="34">
        <v>0</v>
      </c>
      <c r="X3" s="35" t="s">
        <v>27</v>
      </c>
      <c r="Y3" s="74">
        <v>1</v>
      </c>
      <c r="Z3" s="34">
        <v>0</v>
      </c>
      <c r="AA3" s="34">
        <v>0</v>
      </c>
      <c r="AB3" s="34">
        <v>0</v>
      </c>
      <c r="AC3" s="35" t="s">
        <v>27</v>
      </c>
      <c r="AD3" s="74">
        <v>1</v>
      </c>
      <c r="AE3" s="43">
        <v>0</v>
      </c>
      <c r="AF3" s="43">
        <v>0</v>
      </c>
      <c r="AG3" s="71">
        <v>1</v>
      </c>
      <c r="AH3" s="55">
        <v>1</v>
      </c>
      <c r="AI3" s="55">
        <v>0</v>
      </c>
      <c r="AJ3" s="55">
        <v>0</v>
      </c>
      <c r="AK3" s="69" t="s">
        <v>27</v>
      </c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1"/>
    </row>
    <row r="4" spans="1:58">
      <c r="A4" s="78"/>
      <c r="B4" s="5">
        <v>3000</v>
      </c>
      <c r="C4" s="8">
        <v>7</v>
      </c>
      <c r="D4" s="6">
        <f t="shared" ref="D4:D7" si="0">(B4*C4)</f>
        <v>21000</v>
      </c>
      <c r="E4" s="75"/>
      <c r="F4" s="36">
        <v>3</v>
      </c>
      <c r="G4" s="37">
        <v>4</v>
      </c>
      <c r="H4" s="37">
        <f>((F4*2)+(G4*2))</f>
        <v>14</v>
      </c>
      <c r="I4" s="38">
        <f>F4*G4</f>
        <v>12</v>
      </c>
      <c r="J4" s="75"/>
      <c r="K4" s="21">
        <v>100</v>
      </c>
      <c r="L4" s="22">
        <f>(K4*0.92)</f>
        <v>92</v>
      </c>
      <c r="M4" s="79"/>
      <c r="N4" s="25">
        <v>2</v>
      </c>
      <c r="O4" s="41">
        <v>4</v>
      </c>
      <c r="P4" s="41">
        <f>SUM($O$4:O4)</f>
        <v>4</v>
      </c>
      <c r="Q4" s="45">
        <v>0</v>
      </c>
      <c r="R4" s="75"/>
      <c r="S4" s="37">
        <v>4</v>
      </c>
      <c r="T4" s="37">
        <v>5</v>
      </c>
      <c r="U4" s="64" t="str">
        <f>IF(S4=T4,"Son iguales",IF(S4&gt;T4, "El primero es mayor","El segundo es mayor"))</f>
        <v>El segundo es mayor</v>
      </c>
      <c r="V4" s="75"/>
      <c r="W4" s="37">
        <v>40</v>
      </c>
      <c r="X4" s="38" t="str">
        <f>IF(W4&gt;=60,"Aprueba","Reprueba")</f>
        <v>Reprueba</v>
      </c>
      <c r="Y4" s="75"/>
      <c r="Z4" s="37">
        <v>3</v>
      </c>
      <c r="AA4" s="37">
        <v>2</v>
      </c>
      <c r="AB4" s="37">
        <v>1</v>
      </c>
      <c r="AC4" s="64" t="str">
        <f>IF(AND(Z4&gt;AA4,Z4&gt;AB4),"El primero es mayor",IF(AND(AA4&gt;Z4,AA4&gt;AB4),"El segundo es mayor","El tercero es mayor"))</f>
        <v>El primero es mayor</v>
      </c>
      <c r="AD4" s="75"/>
      <c r="AE4" s="22">
        <v>200</v>
      </c>
      <c r="AF4" s="22">
        <f>IF(AE4&gt;100,AE4*0.9,AE4)</f>
        <v>180</v>
      </c>
      <c r="AG4" s="72"/>
      <c r="AH4" s="30">
        <v>2</v>
      </c>
      <c r="AI4" s="30">
        <v>7</v>
      </c>
      <c r="AJ4" s="30">
        <f>AI4*AH3</f>
        <v>7</v>
      </c>
      <c r="AK4" s="31" t="str">
        <f>AI4&amp;" X "&amp;AH3&amp;" = "&amp;AJ4</f>
        <v>7 X 1 = 7</v>
      </c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1"/>
    </row>
    <row r="5" spans="1:58">
      <c r="A5" s="16"/>
      <c r="B5" s="10"/>
      <c r="C5" s="11"/>
      <c r="D5" s="12"/>
      <c r="E5" s="27"/>
      <c r="F5" s="27"/>
      <c r="G5" s="25"/>
      <c r="H5" s="25"/>
      <c r="I5" s="28"/>
      <c r="J5" s="27"/>
      <c r="K5" s="20"/>
      <c r="L5" s="18"/>
      <c r="M5" s="79"/>
      <c r="N5" s="25">
        <v>3</v>
      </c>
      <c r="O5" s="41">
        <v>5</v>
      </c>
      <c r="P5" s="41">
        <f>SUM($O$4:O5)</f>
        <v>9</v>
      </c>
      <c r="Q5" s="45">
        <v>0</v>
      </c>
      <c r="R5" s="52"/>
      <c r="S5" s="25"/>
      <c r="T5" s="25"/>
      <c r="U5" s="63"/>
      <c r="V5" s="52"/>
      <c r="W5" s="25"/>
      <c r="X5" s="28"/>
      <c r="Y5" s="52"/>
      <c r="Z5" s="25"/>
      <c r="AA5" s="25"/>
      <c r="AB5" s="25"/>
      <c r="AC5" s="63"/>
      <c r="AD5" s="27"/>
      <c r="AE5" s="22"/>
      <c r="AF5" s="22">
        <f t="shared" ref="AF5:AF16" si="1">IF(AE5&gt;100,AE5*0.9,AE5)</f>
        <v>0</v>
      </c>
      <c r="AG5" s="72"/>
      <c r="AH5" s="30">
        <v>3</v>
      </c>
      <c r="AI5" s="30">
        <f>AI4</f>
        <v>7</v>
      </c>
      <c r="AJ5" s="30">
        <f t="shared" ref="AJ5:AJ61" si="2">AI5*AH4</f>
        <v>14</v>
      </c>
      <c r="AK5" s="31" t="str">
        <f t="shared" ref="AK5:AK61" si="3">AI5&amp;" X "&amp;AH4&amp;" = "&amp;AJ5</f>
        <v>7 X 2 = 14</v>
      </c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1"/>
    </row>
    <row r="6" spans="1:58">
      <c r="A6" s="76">
        <v>2</v>
      </c>
      <c r="B6" s="2">
        <v>0</v>
      </c>
      <c r="C6" s="7">
        <v>0</v>
      </c>
      <c r="D6" s="4">
        <f t="shared" si="0"/>
        <v>0</v>
      </c>
      <c r="E6" s="74">
        <v>2</v>
      </c>
      <c r="F6" s="33">
        <v>0</v>
      </c>
      <c r="G6" s="34">
        <v>0</v>
      </c>
      <c r="H6" s="34">
        <v>0</v>
      </c>
      <c r="I6" s="35">
        <v>0</v>
      </c>
      <c r="J6" s="74">
        <v>2</v>
      </c>
      <c r="K6" s="39">
        <v>0</v>
      </c>
      <c r="L6" s="43">
        <v>0</v>
      </c>
      <c r="M6" s="75"/>
      <c r="N6" s="37">
        <v>3</v>
      </c>
      <c r="O6" s="50">
        <v>3.4</v>
      </c>
      <c r="P6" s="50">
        <f>SUM($O$4:O6)</f>
        <v>12.4</v>
      </c>
      <c r="Q6" s="51">
        <f>(P6/3)</f>
        <v>4.1333333333333337</v>
      </c>
      <c r="R6" s="74">
        <v>2</v>
      </c>
      <c r="S6" s="34">
        <v>0</v>
      </c>
      <c r="T6" s="34">
        <v>0</v>
      </c>
      <c r="U6" s="35" t="s">
        <v>27</v>
      </c>
      <c r="V6" s="74">
        <v>2</v>
      </c>
      <c r="W6" s="34">
        <v>0</v>
      </c>
      <c r="X6" s="35" t="s">
        <v>27</v>
      </c>
      <c r="Y6" s="74">
        <v>2</v>
      </c>
      <c r="Z6" s="34">
        <v>0</v>
      </c>
      <c r="AA6" s="34">
        <v>0</v>
      </c>
      <c r="AB6" s="34">
        <v>0</v>
      </c>
      <c r="AC6" s="35" t="s">
        <v>27</v>
      </c>
      <c r="AD6" s="74">
        <v>2</v>
      </c>
      <c r="AE6" s="43">
        <v>0</v>
      </c>
      <c r="AF6" s="43">
        <v>0</v>
      </c>
      <c r="AG6" s="72"/>
      <c r="AH6" s="30">
        <v>4</v>
      </c>
      <c r="AI6" s="30">
        <f t="shared" ref="AI6:AI13" si="4">AI5</f>
        <v>7</v>
      </c>
      <c r="AJ6" s="30">
        <f t="shared" si="2"/>
        <v>21</v>
      </c>
      <c r="AK6" s="31" t="str">
        <f t="shared" si="3"/>
        <v>7 X 3 = 21</v>
      </c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1"/>
    </row>
    <row r="7" spans="1:58">
      <c r="A7" s="78"/>
      <c r="B7" s="5">
        <v>7000</v>
      </c>
      <c r="C7" s="8">
        <v>12</v>
      </c>
      <c r="D7" s="6">
        <f t="shared" si="0"/>
        <v>84000</v>
      </c>
      <c r="E7" s="75"/>
      <c r="F7" s="36">
        <v>1</v>
      </c>
      <c r="G7" s="37">
        <v>5</v>
      </c>
      <c r="H7" s="37">
        <f t="shared" ref="H7:H16" si="5">((F7*2)+(G7*2))</f>
        <v>12</v>
      </c>
      <c r="I7" s="38">
        <f t="shared" ref="I7:I16" si="6">F7*G7</f>
        <v>5</v>
      </c>
      <c r="J7" s="75"/>
      <c r="K7" s="21">
        <v>200</v>
      </c>
      <c r="L7" s="22">
        <f t="shared" ref="L7:L16" si="7">(K7*0.92)</f>
        <v>184</v>
      </c>
      <c r="M7" s="52"/>
      <c r="N7" s="25"/>
      <c r="O7" s="24"/>
      <c r="P7" s="24"/>
      <c r="Q7" s="46"/>
      <c r="R7" s="75"/>
      <c r="S7" s="37">
        <v>3</v>
      </c>
      <c r="T7" s="37">
        <v>2</v>
      </c>
      <c r="U7" s="64" t="str">
        <f t="shared" ref="U7:U16" si="8">IF(S7=T7,"Son iguales",IF(S7&gt;T7, "El primero es mayor","El segundo es mayor"))</f>
        <v>El primero es mayor</v>
      </c>
      <c r="V7" s="75"/>
      <c r="W7" s="37">
        <v>20</v>
      </c>
      <c r="X7" s="38" t="str">
        <f t="shared" ref="X7:X16" si="9">IF(W7&gt;=60,"Aprueba","Reprueba")</f>
        <v>Reprueba</v>
      </c>
      <c r="Y7" s="75"/>
      <c r="Z7" s="37">
        <v>7</v>
      </c>
      <c r="AA7" s="37">
        <v>3</v>
      </c>
      <c r="AB7" s="37">
        <v>9</v>
      </c>
      <c r="AC7" s="64" t="str">
        <f t="shared" ref="AC7:AC16" si="10">IF(AND(Z7&gt;AA7,Z7&gt;AB7),"El primero es mayor",IF(AND(AA7&gt;Z7,AA7&gt;AB7),"El segundo es mayor","El tercero es mayor"))</f>
        <v>El tercero es mayor</v>
      </c>
      <c r="AD7" s="75"/>
      <c r="AE7" s="22">
        <v>100</v>
      </c>
      <c r="AF7" s="22">
        <f t="shared" si="1"/>
        <v>100</v>
      </c>
      <c r="AG7" s="72"/>
      <c r="AH7" s="30">
        <v>5</v>
      </c>
      <c r="AI7" s="30">
        <f t="shared" si="4"/>
        <v>7</v>
      </c>
      <c r="AJ7" s="30">
        <f t="shared" si="2"/>
        <v>28</v>
      </c>
      <c r="AK7" s="31" t="str">
        <f t="shared" si="3"/>
        <v>7 X 4 = 28</v>
      </c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1"/>
    </row>
    <row r="8" spans="1:58">
      <c r="A8" s="16"/>
      <c r="B8" s="13"/>
      <c r="C8" s="11"/>
      <c r="D8" s="14"/>
      <c r="E8" s="29"/>
      <c r="F8" s="27"/>
      <c r="G8" s="25"/>
      <c r="H8" s="25"/>
      <c r="I8" s="28"/>
      <c r="J8" s="29"/>
      <c r="K8" s="20"/>
      <c r="L8" s="18"/>
      <c r="M8" s="71">
        <v>2</v>
      </c>
      <c r="N8" s="34">
        <v>1</v>
      </c>
      <c r="O8" s="34">
        <v>0</v>
      </c>
      <c r="P8" s="34">
        <v>0</v>
      </c>
      <c r="Q8" s="35">
        <v>0</v>
      </c>
      <c r="R8" s="53"/>
      <c r="S8" s="25"/>
      <c r="T8" s="25"/>
      <c r="U8" s="63"/>
      <c r="V8" s="53"/>
      <c r="W8" s="25"/>
      <c r="X8" s="28"/>
      <c r="Y8" s="53"/>
      <c r="Z8" s="25"/>
      <c r="AA8" s="25"/>
      <c r="AB8" s="25"/>
      <c r="AC8" s="63"/>
      <c r="AD8" s="29"/>
      <c r="AE8" s="22"/>
      <c r="AF8" s="22">
        <f t="shared" si="1"/>
        <v>0</v>
      </c>
      <c r="AG8" s="72"/>
      <c r="AH8" s="30">
        <v>6</v>
      </c>
      <c r="AI8" s="30">
        <f t="shared" si="4"/>
        <v>7</v>
      </c>
      <c r="AJ8" s="30">
        <f t="shared" si="2"/>
        <v>35</v>
      </c>
      <c r="AK8" s="31" t="str">
        <f t="shared" si="3"/>
        <v>7 X 5 = 35</v>
      </c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1"/>
    </row>
    <row r="9" spans="1:58">
      <c r="A9" s="76">
        <v>3</v>
      </c>
      <c r="B9" s="2">
        <v>0</v>
      </c>
      <c r="C9" s="7">
        <v>0</v>
      </c>
      <c r="D9" s="4">
        <f t="shared" ref="D9:D10" si="11">(B9*C9)</f>
        <v>0</v>
      </c>
      <c r="E9" s="74">
        <v>3</v>
      </c>
      <c r="F9" s="33">
        <v>0</v>
      </c>
      <c r="G9" s="34">
        <v>0</v>
      </c>
      <c r="H9" s="34">
        <v>0</v>
      </c>
      <c r="I9" s="35">
        <v>0</v>
      </c>
      <c r="J9" s="74">
        <v>3</v>
      </c>
      <c r="K9" s="39">
        <v>0</v>
      </c>
      <c r="L9" s="43">
        <v>0</v>
      </c>
      <c r="M9" s="72"/>
      <c r="N9" s="25">
        <v>2</v>
      </c>
      <c r="O9" s="41">
        <v>5</v>
      </c>
      <c r="P9" s="41">
        <f>SUM($O$9:O9)</f>
        <v>5</v>
      </c>
      <c r="Q9" s="45">
        <v>0</v>
      </c>
      <c r="R9" s="74">
        <v>3</v>
      </c>
      <c r="S9" s="34">
        <v>0</v>
      </c>
      <c r="T9" s="34">
        <v>0</v>
      </c>
      <c r="U9" s="35" t="s">
        <v>27</v>
      </c>
      <c r="V9" s="74">
        <v>3</v>
      </c>
      <c r="W9" s="34">
        <v>0</v>
      </c>
      <c r="X9" s="35" t="s">
        <v>27</v>
      </c>
      <c r="Y9" s="74">
        <v>3</v>
      </c>
      <c r="Z9" s="34">
        <v>0</v>
      </c>
      <c r="AA9" s="34">
        <v>0</v>
      </c>
      <c r="AB9" s="34">
        <v>0</v>
      </c>
      <c r="AC9" s="35" t="s">
        <v>27</v>
      </c>
      <c r="AD9" s="74">
        <v>3</v>
      </c>
      <c r="AE9" s="43">
        <v>0</v>
      </c>
      <c r="AF9" s="43">
        <v>0</v>
      </c>
      <c r="AG9" s="72"/>
      <c r="AH9" s="30">
        <v>7</v>
      </c>
      <c r="AI9" s="30">
        <f t="shared" si="4"/>
        <v>7</v>
      </c>
      <c r="AJ9" s="30">
        <f t="shared" si="2"/>
        <v>42</v>
      </c>
      <c r="AK9" s="31" t="str">
        <f t="shared" si="3"/>
        <v>7 X 6 = 42</v>
      </c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1"/>
    </row>
    <row r="10" spans="1:58">
      <c r="A10" s="78"/>
      <c r="B10" s="5">
        <v>20000</v>
      </c>
      <c r="C10" s="8">
        <v>12</v>
      </c>
      <c r="D10" s="6">
        <f t="shared" si="11"/>
        <v>240000</v>
      </c>
      <c r="E10" s="75"/>
      <c r="F10" s="36">
        <v>2</v>
      </c>
      <c r="G10" s="37">
        <v>2</v>
      </c>
      <c r="H10" s="37">
        <f t="shared" si="5"/>
        <v>8</v>
      </c>
      <c r="I10" s="38">
        <f t="shared" si="6"/>
        <v>4</v>
      </c>
      <c r="J10" s="75"/>
      <c r="K10" s="21">
        <v>700</v>
      </c>
      <c r="L10" s="22">
        <f t="shared" si="7"/>
        <v>644</v>
      </c>
      <c r="M10" s="72"/>
      <c r="N10" s="25">
        <v>3</v>
      </c>
      <c r="O10" s="41">
        <v>3</v>
      </c>
      <c r="P10" s="41">
        <f>SUM($O$9:O10)</f>
        <v>8</v>
      </c>
      <c r="Q10" s="45">
        <v>0</v>
      </c>
      <c r="R10" s="75"/>
      <c r="S10" s="37">
        <v>7</v>
      </c>
      <c r="T10" s="37">
        <v>7</v>
      </c>
      <c r="U10" s="64" t="str">
        <f t="shared" si="8"/>
        <v>Son iguales</v>
      </c>
      <c r="V10" s="75"/>
      <c r="W10" s="37">
        <v>70</v>
      </c>
      <c r="X10" s="38" t="str">
        <f t="shared" si="9"/>
        <v>Aprueba</v>
      </c>
      <c r="Y10" s="75"/>
      <c r="Z10" s="37">
        <v>4</v>
      </c>
      <c r="AA10" s="37">
        <v>8</v>
      </c>
      <c r="AB10" s="37">
        <v>2</v>
      </c>
      <c r="AC10" s="64" t="str">
        <f t="shared" si="10"/>
        <v>El segundo es mayor</v>
      </c>
      <c r="AD10" s="75"/>
      <c r="AE10" s="22">
        <v>20</v>
      </c>
      <c r="AF10" s="22">
        <f t="shared" si="1"/>
        <v>20</v>
      </c>
      <c r="AG10" s="72"/>
      <c r="AH10" s="30">
        <v>8</v>
      </c>
      <c r="AI10" s="30">
        <f t="shared" si="4"/>
        <v>7</v>
      </c>
      <c r="AJ10" s="30">
        <f t="shared" si="2"/>
        <v>49</v>
      </c>
      <c r="AK10" s="31" t="str">
        <f t="shared" si="3"/>
        <v>7 X 7 = 49</v>
      </c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1"/>
    </row>
    <row r="11" spans="1:58">
      <c r="A11" s="16"/>
      <c r="B11" s="13"/>
      <c r="C11" s="11"/>
      <c r="D11" s="14"/>
      <c r="E11" s="29"/>
      <c r="F11" s="27"/>
      <c r="G11" s="25"/>
      <c r="H11" s="25"/>
      <c r="I11" s="28"/>
      <c r="J11" s="29"/>
      <c r="K11" s="20"/>
      <c r="L11" s="18"/>
      <c r="M11" s="73"/>
      <c r="N11" s="37">
        <v>3</v>
      </c>
      <c r="O11" s="50">
        <v>1</v>
      </c>
      <c r="P11" s="50">
        <f>SUM($O$9:O11)</f>
        <v>9</v>
      </c>
      <c r="Q11" s="51">
        <f>(P11/3)</f>
        <v>3</v>
      </c>
      <c r="R11" s="53"/>
      <c r="S11" s="25"/>
      <c r="T11" s="25"/>
      <c r="U11" s="63"/>
      <c r="V11" s="53"/>
      <c r="W11" s="25"/>
      <c r="X11" s="28"/>
      <c r="Y11" s="53"/>
      <c r="Z11" s="25"/>
      <c r="AA11" s="25"/>
      <c r="AB11" s="25"/>
      <c r="AC11" s="63"/>
      <c r="AD11" s="29"/>
      <c r="AE11" s="22"/>
      <c r="AF11" s="22">
        <f t="shared" si="1"/>
        <v>0</v>
      </c>
      <c r="AG11" s="72"/>
      <c r="AH11" s="30">
        <v>9</v>
      </c>
      <c r="AI11" s="30">
        <f t="shared" si="4"/>
        <v>7</v>
      </c>
      <c r="AJ11" s="30">
        <f t="shared" si="2"/>
        <v>56</v>
      </c>
      <c r="AK11" s="31" t="str">
        <f t="shared" si="3"/>
        <v>7 X 8 = 56</v>
      </c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1"/>
    </row>
    <row r="12" spans="1:58">
      <c r="A12" s="76">
        <v>4</v>
      </c>
      <c r="B12" s="2">
        <v>0</v>
      </c>
      <c r="C12" s="7">
        <v>0</v>
      </c>
      <c r="D12" s="4">
        <f t="shared" ref="D12:D13" si="12">(B12*C12)</f>
        <v>0</v>
      </c>
      <c r="E12" s="74">
        <v>4</v>
      </c>
      <c r="F12" s="33">
        <v>0</v>
      </c>
      <c r="G12" s="34">
        <v>0</v>
      </c>
      <c r="H12" s="34">
        <v>0</v>
      </c>
      <c r="I12" s="35">
        <v>0</v>
      </c>
      <c r="J12" s="74">
        <v>4</v>
      </c>
      <c r="K12" s="39">
        <v>0</v>
      </c>
      <c r="L12" s="43">
        <v>0</v>
      </c>
      <c r="M12" s="52"/>
      <c r="N12" s="25"/>
      <c r="O12" s="42"/>
      <c r="P12" s="42"/>
      <c r="Q12" s="47"/>
      <c r="R12" s="74">
        <v>4</v>
      </c>
      <c r="S12" s="34">
        <v>0</v>
      </c>
      <c r="T12" s="34">
        <v>0</v>
      </c>
      <c r="U12" s="35" t="s">
        <v>27</v>
      </c>
      <c r="V12" s="74">
        <v>4</v>
      </c>
      <c r="W12" s="34">
        <v>0</v>
      </c>
      <c r="X12" s="35" t="s">
        <v>27</v>
      </c>
      <c r="Y12" s="74">
        <v>4</v>
      </c>
      <c r="Z12" s="34">
        <v>0</v>
      </c>
      <c r="AA12" s="34">
        <v>0</v>
      </c>
      <c r="AB12" s="34">
        <v>0</v>
      </c>
      <c r="AC12" s="35" t="s">
        <v>27</v>
      </c>
      <c r="AD12" s="74">
        <v>4</v>
      </c>
      <c r="AE12" s="43">
        <v>0</v>
      </c>
      <c r="AF12" s="43">
        <v>0</v>
      </c>
      <c r="AG12" s="72"/>
      <c r="AH12" s="30">
        <v>10</v>
      </c>
      <c r="AI12" s="30">
        <f t="shared" si="4"/>
        <v>7</v>
      </c>
      <c r="AJ12" s="30">
        <f t="shared" si="2"/>
        <v>63</v>
      </c>
      <c r="AK12" s="31" t="str">
        <f t="shared" si="3"/>
        <v>7 X 9 = 63</v>
      </c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1"/>
    </row>
    <row r="13" spans="1:58">
      <c r="A13" s="78"/>
      <c r="B13" s="5">
        <v>7000</v>
      </c>
      <c r="C13" s="8">
        <v>12</v>
      </c>
      <c r="D13" s="6">
        <f t="shared" si="12"/>
        <v>84000</v>
      </c>
      <c r="E13" s="75"/>
      <c r="F13" s="36">
        <v>3</v>
      </c>
      <c r="G13" s="37">
        <v>7</v>
      </c>
      <c r="H13" s="37">
        <f t="shared" si="5"/>
        <v>20</v>
      </c>
      <c r="I13" s="38">
        <f t="shared" si="6"/>
        <v>21</v>
      </c>
      <c r="J13" s="75"/>
      <c r="K13" s="21">
        <v>653</v>
      </c>
      <c r="L13" s="22">
        <f t="shared" si="7"/>
        <v>600.76</v>
      </c>
      <c r="M13" s="74">
        <v>3</v>
      </c>
      <c r="N13" s="34">
        <v>1</v>
      </c>
      <c r="O13" s="34">
        <v>0</v>
      </c>
      <c r="P13" s="34">
        <v>0</v>
      </c>
      <c r="Q13" s="35">
        <v>0</v>
      </c>
      <c r="R13" s="75"/>
      <c r="S13" s="37">
        <v>1</v>
      </c>
      <c r="T13" s="37">
        <v>2</v>
      </c>
      <c r="U13" s="64" t="str">
        <f t="shared" si="8"/>
        <v>El segundo es mayor</v>
      </c>
      <c r="V13" s="75"/>
      <c r="W13" s="37">
        <v>90</v>
      </c>
      <c r="X13" s="38" t="str">
        <f t="shared" si="9"/>
        <v>Aprueba</v>
      </c>
      <c r="Y13" s="75"/>
      <c r="Z13" s="37">
        <v>24</v>
      </c>
      <c r="AA13" s="37">
        <v>7</v>
      </c>
      <c r="AB13" s="37">
        <v>2007</v>
      </c>
      <c r="AC13" s="64" t="str">
        <f t="shared" si="10"/>
        <v>El tercero es mayor</v>
      </c>
      <c r="AD13" s="75"/>
      <c r="AE13" s="22">
        <v>99</v>
      </c>
      <c r="AF13" s="22">
        <f t="shared" si="1"/>
        <v>99</v>
      </c>
      <c r="AG13" s="73"/>
      <c r="AH13" s="56">
        <v>10</v>
      </c>
      <c r="AI13" s="56">
        <f t="shared" si="4"/>
        <v>7</v>
      </c>
      <c r="AJ13" s="56">
        <f t="shared" si="2"/>
        <v>70</v>
      </c>
      <c r="AK13" s="68" t="str">
        <f t="shared" si="3"/>
        <v>7 X 10 = 70</v>
      </c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1"/>
    </row>
    <row r="14" spans="1:58">
      <c r="A14" s="16"/>
      <c r="B14" s="13"/>
      <c r="C14" s="11"/>
      <c r="D14" s="14"/>
      <c r="E14" s="29"/>
      <c r="F14" s="27"/>
      <c r="G14" s="25"/>
      <c r="H14" s="25"/>
      <c r="I14" s="28"/>
      <c r="J14" s="29"/>
      <c r="K14" s="20"/>
      <c r="L14" s="18"/>
      <c r="M14" s="79"/>
      <c r="N14" s="25">
        <v>2</v>
      </c>
      <c r="O14" s="41">
        <v>2.4</v>
      </c>
      <c r="P14" s="41">
        <f>SUM($O$14:O14)</f>
        <v>2.4</v>
      </c>
      <c r="Q14" s="45">
        <v>0</v>
      </c>
      <c r="R14" s="53"/>
      <c r="S14" s="25"/>
      <c r="T14" s="25"/>
      <c r="U14" s="63"/>
      <c r="V14" s="53"/>
      <c r="W14" s="25"/>
      <c r="X14" s="28"/>
      <c r="Y14" s="53"/>
      <c r="Z14" s="25"/>
      <c r="AA14" s="25"/>
      <c r="AB14" s="25"/>
      <c r="AC14" s="63"/>
      <c r="AD14" s="29"/>
      <c r="AE14" s="22"/>
      <c r="AF14" s="22">
        <f t="shared" si="1"/>
        <v>0</v>
      </c>
      <c r="AG14" s="53"/>
      <c r="AH14" s="30"/>
      <c r="AI14" s="30"/>
      <c r="AJ14" s="30"/>
      <c r="AK14" s="31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1"/>
    </row>
    <row r="15" spans="1:58">
      <c r="A15" s="76">
        <v>5</v>
      </c>
      <c r="B15" s="2">
        <v>0</v>
      </c>
      <c r="C15" s="7">
        <v>0</v>
      </c>
      <c r="D15" s="4">
        <f t="shared" ref="D15:D16" si="13">(B15*C15)</f>
        <v>0</v>
      </c>
      <c r="E15" s="74">
        <v>5</v>
      </c>
      <c r="F15" s="33">
        <v>0</v>
      </c>
      <c r="G15" s="34">
        <v>0</v>
      </c>
      <c r="H15" s="34">
        <v>0</v>
      </c>
      <c r="I15" s="35">
        <v>0</v>
      </c>
      <c r="J15" s="74">
        <v>5</v>
      </c>
      <c r="K15" s="39">
        <v>0</v>
      </c>
      <c r="L15" s="43">
        <v>0</v>
      </c>
      <c r="M15" s="79"/>
      <c r="N15" s="25">
        <v>3</v>
      </c>
      <c r="O15" s="41">
        <v>2.1</v>
      </c>
      <c r="P15" s="41">
        <f>SUM($O$14:O15)</f>
        <v>4.5</v>
      </c>
      <c r="Q15" s="45">
        <v>0</v>
      </c>
      <c r="R15" s="74">
        <v>5</v>
      </c>
      <c r="S15" s="34">
        <v>0</v>
      </c>
      <c r="T15" s="34">
        <v>0</v>
      </c>
      <c r="U15" s="35" t="s">
        <v>27</v>
      </c>
      <c r="V15" s="74">
        <v>5</v>
      </c>
      <c r="W15" s="34">
        <v>0</v>
      </c>
      <c r="X15" s="35" t="s">
        <v>27</v>
      </c>
      <c r="Y15" s="74">
        <v>5</v>
      </c>
      <c r="Z15" s="34">
        <v>0</v>
      </c>
      <c r="AA15" s="34">
        <v>0</v>
      </c>
      <c r="AB15" s="34">
        <v>0</v>
      </c>
      <c r="AC15" s="35" t="s">
        <v>27</v>
      </c>
      <c r="AD15" s="74">
        <v>5</v>
      </c>
      <c r="AE15" s="43">
        <v>0</v>
      </c>
      <c r="AF15" s="43">
        <v>0</v>
      </c>
      <c r="AG15" s="71">
        <v>2</v>
      </c>
      <c r="AH15" s="55">
        <v>1</v>
      </c>
      <c r="AI15" s="55">
        <v>0</v>
      </c>
      <c r="AJ15" s="55">
        <v>0</v>
      </c>
      <c r="AK15" s="69" t="s">
        <v>27</v>
      </c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</row>
    <row r="16" spans="1:58">
      <c r="A16" s="78"/>
      <c r="B16" s="5">
        <v>7000</v>
      </c>
      <c r="C16" s="8">
        <v>12</v>
      </c>
      <c r="D16" s="6">
        <f t="shared" si="13"/>
        <v>84000</v>
      </c>
      <c r="E16" s="75"/>
      <c r="F16" s="36">
        <v>1</v>
      </c>
      <c r="G16" s="37">
        <v>9</v>
      </c>
      <c r="H16" s="37">
        <f t="shared" si="5"/>
        <v>20</v>
      </c>
      <c r="I16" s="38">
        <f t="shared" si="6"/>
        <v>9</v>
      </c>
      <c r="J16" s="75"/>
      <c r="K16" s="21">
        <v>982</v>
      </c>
      <c r="L16" s="22">
        <f t="shared" si="7"/>
        <v>903.44</v>
      </c>
      <c r="M16" s="75"/>
      <c r="N16" s="37">
        <v>3</v>
      </c>
      <c r="O16" s="50">
        <v>2.6</v>
      </c>
      <c r="P16" s="50">
        <f>SUM($O$14:O16)</f>
        <v>7.1</v>
      </c>
      <c r="Q16" s="51">
        <f>(P16/3)</f>
        <v>2.3666666666666667</v>
      </c>
      <c r="R16" s="75"/>
      <c r="S16" s="37">
        <v>232</v>
      </c>
      <c r="T16" s="37">
        <v>567</v>
      </c>
      <c r="U16" s="64" t="str">
        <f t="shared" si="8"/>
        <v>El segundo es mayor</v>
      </c>
      <c r="V16" s="75"/>
      <c r="W16" s="37">
        <v>59</v>
      </c>
      <c r="X16" s="38" t="str">
        <f t="shared" si="9"/>
        <v>Reprueba</v>
      </c>
      <c r="Y16" s="75"/>
      <c r="Z16" s="37">
        <v>4</v>
      </c>
      <c r="AA16" s="37">
        <v>7</v>
      </c>
      <c r="AB16" s="37">
        <v>12</v>
      </c>
      <c r="AC16" s="64" t="str">
        <f t="shared" si="10"/>
        <v>El tercero es mayor</v>
      </c>
      <c r="AD16" s="75"/>
      <c r="AE16" s="22">
        <v>2407</v>
      </c>
      <c r="AF16" s="22">
        <f t="shared" si="1"/>
        <v>2166.3000000000002</v>
      </c>
      <c r="AG16" s="72"/>
      <c r="AH16" s="30">
        <v>2</v>
      </c>
      <c r="AI16" s="19">
        <v>2</v>
      </c>
      <c r="AJ16" s="30">
        <f t="shared" si="2"/>
        <v>2</v>
      </c>
      <c r="AK16" s="31" t="str">
        <f t="shared" si="3"/>
        <v>2 X 1 = 2</v>
      </c>
    </row>
    <row r="17" spans="13:37">
      <c r="M17" s="57"/>
      <c r="N17" s="48"/>
      <c r="O17" s="24"/>
      <c r="P17" s="24"/>
      <c r="Q17" s="46"/>
      <c r="AG17" s="72"/>
      <c r="AH17" s="30">
        <v>3</v>
      </c>
      <c r="AI17" s="19">
        <f>AI16</f>
        <v>2</v>
      </c>
      <c r="AJ17" s="30">
        <f t="shared" si="2"/>
        <v>4</v>
      </c>
      <c r="AK17" s="31" t="str">
        <f t="shared" si="3"/>
        <v>2 X 2 = 4</v>
      </c>
    </row>
    <row r="18" spans="13:37">
      <c r="M18" s="76">
        <v>4</v>
      </c>
      <c r="N18" s="34">
        <v>1</v>
      </c>
      <c r="O18" s="34">
        <v>0</v>
      </c>
      <c r="P18" s="34">
        <v>0</v>
      </c>
      <c r="Q18" s="35">
        <v>0</v>
      </c>
      <c r="AG18" s="72"/>
      <c r="AH18" s="30">
        <v>4</v>
      </c>
      <c r="AI18" s="19">
        <f t="shared" ref="AI18:AI25" si="14">AI17</f>
        <v>2</v>
      </c>
      <c r="AJ18" s="30">
        <f t="shared" si="2"/>
        <v>6</v>
      </c>
      <c r="AK18" s="31" t="str">
        <f t="shared" si="3"/>
        <v>2 X 3 = 6</v>
      </c>
    </row>
    <row r="19" spans="13:37">
      <c r="M19" s="77"/>
      <c r="N19" s="25">
        <v>2</v>
      </c>
      <c r="O19" s="41">
        <v>5</v>
      </c>
      <c r="P19" s="41">
        <f>SUM($O$19:O19)</f>
        <v>5</v>
      </c>
      <c r="Q19" s="45">
        <v>0</v>
      </c>
      <c r="AG19" s="72"/>
      <c r="AH19" s="30">
        <v>5</v>
      </c>
      <c r="AI19" s="19">
        <f t="shared" si="14"/>
        <v>2</v>
      </c>
      <c r="AJ19" s="30">
        <f t="shared" si="2"/>
        <v>8</v>
      </c>
      <c r="AK19" s="31" t="str">
        <f t="shared" si="3"/>
        <v>2 X 4 = 8</v>
      </c>
    </row>
    <row r="20" spans="13:37">
      <c r="M20" s="77"/>
      <c r="N20" s="25">
        <v>3</v>
      </c>
      <c r="O20" s="41">
        <v>3.4</v>
      </c>
      <c r="P20" s="41">
        <f>SUM($O$19:O20)</f>
        <v>8.4</v>
      </c>
      <c r="Q20" s="45">
        <v>0</v>
      </c>
      <c r="AG20" s="72"/>
      <c r="AH20" s="30">
        <v>6</v>
      </c>
      <c r="AI20" s="19">
        <f t="shared" si="14"/>
        <v>2</v>
      </c>
      <c r="AJ20" s="30">
        <f t="shared" si="2"/>
        <v>10</v>
      </c>
      <c r="AK20" s="31" t="str">
        <f t="shared" si="3"/>
        <v>2 X 5 = 10</v>
      </c>
    </row>
    <row r="21" spans="13:37">
      <c r="M21" s="78"/>
      <c r="N21" s="37">
        <v>3</v>
      </c>
      <c r="O21" s="50">
        <v>1.7</v>
      </c>
      <c r="P21" s="50">
        <f>SUM($O$19:O21)</f>
        <v>10.1</v>
      </c>
      <c r="Q21" s="51">
        <f>(P21/3)</f>
        <v>3.3666666666666667</v>
      </c>
      <c r="AG21" s="72"/>
      <c r="AH21" s="30">
        <v>7</v>
      </c>
      <c r="AI21" s="19">
        <f t="shared" si="14"/>
        <v>2</v>
      </c>
      <c r="AJ21" s="30">
        <f t="shared" si="2"/>
        <v>12</v>
      </c>
      <c r="AK21" s="31" t="str">
        <f t="shared" si="3"/>
        <v>2 X 6 = 12</v>
      </c>
    </row>
    <row r="22" spans="13:37">
      <c r="M22" s="57"/>
      <c r="N22" s="48"/>
      <c r="O22" s="48"/>
      <c r="P22" s="48"/>
      <c r="Q22" s="49"/>
      <c r="AG22" s="72"/>
      <c r="AH22" s="30">
        <v>8</v>
      </c>
      <c r="AI22" s="19">
        <f t="shared" si="14"/>
        <v>2</v>
      </c>
      <c r="AJ22" s="30">
        <f t="shared" si="2"/>
        <v>14</v>
      </c>
      <c r="AK22" s="31" t="str">
        <f t="shared" si="3"/>
        <v>2 X 7 = 14</v>
      </c>
    </row>
    <row r="23" spans="13:37">
      <c r="M23" s="76">
        <v>5</v>
      </c>
      <c r="N23" s="34">
        <v>1</v>
      </c>
      <c r="O23" s="34">
        <v>0</v>
      </c>
      <c r="P23" s="34">
        <v>0</v>
      </c>
      <c r="Q23" s="35">
        <v>0</v>
      </c>
      <c r="AG23" s="72"/>
      <c r="AH23" s="30">
        <v>9</v>
      </c>
      <c r="AI23" s="19">
        <f t="shared" si="14"/>
        <v>2</v>
      </c>
      <c r="AJ23" s="30">
        <f t="shared" si="2"/>
        <v>16</v>
      </c>
      <c r="AK23" s="31" t="str">
        <f t="shared" si="3"/>
        <v>2 X 8 = 16</v>
      </c>
    </row>
    <row r="24" spans="13:37">
      <c r="M24" s="77"/>
      <c r="N24" s="25">
        <v>2</v>
      </c>
      <c r="O24" s="41">
        <v>5</v>
      </c>
      <c r="P24" s="41">
        <f>SUM($O$24:O24)</f>
        <v>5</v>
      </c>
      <c r="Q24" s="45">
        <v>0</v>
      </c>
      <c r="AG24" s="72"/>
      <c r="AH24" s="30">
        <v>10</v>
      </c>
      <c r="AI24" s="19">
        <f t="shared" si="14"/>
        <v>2</v>
      </c>
      <c r="AJ24" s="30">
        <f t="shared" si="2"/>
        <v>18</v>
      </c>
      <c r="AK24" s="31" t="str">
        <f t="shared" si="3"/>
        <v>2 X 9 = 18</v>
      </c>
    </row>
    <row r="25" spans="13:37">
      <c r="M25" s="77"/>
      <c r="N25" s="25">
        <v>3</v>
      </c>
      <c r="O25" s="41">
        <v>2</v>
      </c>
      <c r="P25" s="41">
        <f>SUM($O$24:O25)</f>
        <v>7</v>
      </c>
      <c r="Q25" s="45">
        <v>0</v>
      </c>
      <c r="AG25" s="73"/>
      <c r="AH25" s="56">
        <v>10</v>
      </c>
      <c r="AI25" s="67">
        <f t="shared" si="14"/>
        <v>2</v>
      </c>
      <c r="AJ25" s="56">
        <f t="shared" si="2"/>
        <v>20</v>
      </c>
      <c r="AK25" s="68" t="str">
        <f t="shared" si="3"/>
        <v>2 X 10 = 20</v>
      </c>
    </row>
    <row r="26" spans="13:37">
      <c r="M26" s="78"/>
      <c r="N26" s="37">
        <v>3</v>
      </c>
      <c r="O26" s="50">
        <v>3.6</v>
      </c>
      <c r="P26" s="50">
        <f>SUM($O$24:O26)</f>
        <v>10.6</v>
      </c>
      <c r="Q26" s="51">
        <f>(P26/3)</f>
        <v>3.5333333333333332</v>
      </c>
      <c r="AG26" s="70"/>
      <c r="AH26" s="19"/>
      <c r="AI26" s="19"/>
      <c r="AJ26" s="30"/>
      <c r="AK26" s="31"/>
    </row>
    <row r="27" spans="13:37">
      <c r="AG27" s="71">
        <v>3</v>
      </c>
      <c r="AH27" s="55">
        <v>1</v>
      </c>
      <c r="AI27" s="55">
        <v>0</v>
      </c>
      <c r="AJ27" s="55">
        <v>0</v>
      </c>
      <c r="AK27" s="69" t="s">
        <v>27</v>
      </c>
    </row>
    <row r="28" spans="13:37">
      <c r="AG28" s="72"/>
      <c r="AH28" s="30">
        <v>2</v>
      </c>
      <c r="AI28" s="19">
        <v>9</v>
      </c>
      <c r="AJ28" s="30">
        <f t="shared" si="2"/>
        <v>9</v>
      </c>
      <c r="AK28" s="31" t="str">
        <f t="shared" si="3"/>
        <v>9 X 1 = 9</v>
      </c>
    </row>
    <row r="29" spans="13:37">
      <c r="AG29" s="72"/>
      <c r="AH29" s="30">
        <v>3</v>
      </c>
      <c r="AI29" s="19">
        <f>AI28</f>
        <v>9</v>
      </c>
      <c r="AJ29" s="30">
        <f t="shared" si="2"/>
        <v>18</v>
      </c>
      <c r="AK29" s="31" t="str">
        <f t="shared" si="3"/>
        <v>9 X 2 = 18</v>
      </c>
    </row>
    <row r="30" spans="13:37">
      <c r="AG30" s="72"/>
      <c r="AH30" s="30">
        <v>4</v>
      </c>
      <c r="AI30" s="19">
        <f t="shared" ref="AI30:AI37" si="15">AI29</f>
        <v>9</v>
      </c>
      <c r="AJ30" s="30">
        <f t="shared" si="2"/>
        <v>27</v>
      </c>
      <c r="AK30" s="31" t="str">
        <f t="shared" si="3"/>
        <v>9 X 3 = 27</v>
      </c>
    </row>
    <row r="31" spans="13:37">
      <c r="AG31" s="72"/>
      <c r="AH31" s="30">
        <v>5</v>
      </c>
      <c r="AI31" s="19">
        <f t="shared" si="15"/>
        <v>9</v>
      </c>
      <c r="AJ31" s="30">
        <f t="shared" si="2"/>
        <v>36</v>
      </c>
      <c r="AK31" s="31" t="str">
        <f t="shared" si="3"/>
        <v>9 X 4 = 36</v>
      </c>
    </row>
    <row r="32" spans="13:37">
      <c r="AG32" s="72"/>
      <c r="AH32" s="30">
        <v>6</v>
      </c>
      <c r="AI32" s="19">
        <f t="shared" si="15"/>
        <v>9</v>
      </c>
      <c r="AJ32" s="30">
        <f t="shared" si="2"/>
        <v>45</v>
      </c>
      <c r="AK32" s="31" t="str">
        <f t="shared" si="3"/>
        <v>9 X 5 = 45</v>
      </c>
    </row>
    <row r="33" spans="33:37">
      <c r="AG33" s="72"/>
      <c r="AH33" s="30">
        <v>7</v>
      </c>
      <c r="AI33" s="19">
        <f t="shared" si="15"/>
        <v>9</v>
      </c>
      <c r="AJ33" s="30">
        <f t="shared" si="2"/>
        <v>54</v>
      </c>
      <c r="AK33" s="31" t="str">
        <f t="shared" si="3"/>
        <v>9 X 6 = 54</v>
      </c>
    </row>
    <row r="34" spans="33:37">
      <c r="AG34" s="72"/>
      <c r="AH34" s="30">
        <v>8</v>
      </c>
      <c r="AI34" s="19">
        <f t="shared" si="15"/>
        <v>9</v>
      </c>
      <c r="AJ34" s="30">
        <f t="shared" si="2"/>
        <v>63</v>
      </c>
      <c r="AK34" s="31" t="str">
        <f t="shared" si="3"/>
        <v>9 X 7 = 63</v>
      </c>
    </row>
    <row r="35" spans="33:37">
      <c r="AG35" s="72"/>
      <c r="AH35" s="30">
        <v>9</v>
      </c>
      <c r="AI35" s="19">
        <f t="shared" si="15"/>
        <v>9</v>
      </c>
      <c r="AJ35" s="30">
        <f t="shared" si="2"/>
        <v>72</v>
      </c>
      <c r="AK35" s="31" t="str">
        <f t="shared" si="3"/>
        <v>9 X 8 = 72</v>
      </c>
    </row>
    <row r="36" spans="33:37">
      <c r="AG36" s="72"/>
      <c r="AH36" s="30">
        <v>10</v>
      </c>
      <c r="AI36" s="19">
        <f t="shared" si="15"/>
        <v>9</v>
      </c>
      <c r="AJ36" s="30">
        <f t="shared" si="2"/>
        <v>81</v>
      </c>
      <c r="AK36" s="31" t="str">
        <f t="shared" si="3"/>
        <v>9 X 9 = 81</v>
      </c>
    </row>
    <row r="37" spans="33:37">
      <c r="AG37" s="73"/>
      <c r="AH37" s="56">
        <v>10</v>
      </c>
      <c r="AI37" s="67">
        <f t="shared" si="15"/>
        <v>9</v>
      </c>
      <c r="AJ37" s="56">
        <f t="shared" si="2"/>
        <v>90</v>
      </c>
      <c r="AK37" s="68" t="str">
        <f t="shared" si="3"/>
        <v>9 X 10 = 90</v>
      </c>
    </row>
    <row r="38" spans="33:37">
      <c r="AG38" s="53"/>
      <c r="AH38" s="30"/>
      <c r="AI38" s="19"/>
      <c r="AJ38" s="30"/>
      <c r="AK38" s="31"/>
    </row>
    <row r="39" spans="33:37">
      <c r="AG39" s="71">
        <v>4</v>
      </c>
      <c r="AH39" s="55">
        <v>1</v>
      </c>
      <c r="AI39" s="55">
        <v>0</v>
      </c>
      <c r="AJ39" s="55">
        <v>0</v>
      </c>
      <c r="AK39" s="69" t="s">
        <v>27</v>
      </c>
    </row>
    <row r="40" spans="33:37">
      <c r="AG40" s="72"/>
      <c r="AH40" s="30">
        <v>2</v>
      </c>
      <c r="AI40" s="19">
        <v>10</v>
      </c>
      <c r="AJ40" s="30">
        <f t="shared" si="2"/>
        <v>10</v>
      </c>
      <c r="AK40" s="31" t="str">
        <f t="shared" si="3"/>
        <v>10 X 1 = 10</v>
      </c>
    </row>
    <row r="41" spans="33:37">
      <c r="AG41" s="72"/>
      <c r="AH41" s="30">
        <v>3</v>
      </c>
      <c r="AI41" s="19">
        <f>AI40</f>
        <v>10</v>
      </c>
      <c r="AJ41" s="30">
        <f t="shared" si="2"/>
        <v>20</v>
      </c>
      <c r="AK41" s="31" t="str">
        <f t="shared" si="3"/>
        <v>10 X 2 = 20</v>
      </c>
    </row>
    <row r="42" spans="33:37">
      <c r="AG42" s="72"/>
      <c r="AH42" s="30">
        <v>4</v>
      </c>
      <c r="AI42" s="19">
        <f t="shared" ref="AI42:AI49" si="16">AI41</f>
        <v>10</v>
      </c>
      <c r="AJ42" s="30">
        <f t="shared" si="2"/>
        <v>30</v>
      </c>
      <c r="AK42" s="31" t="str">
        <f t="shared" si="3"/>
        <v>10 X 3 = 30</v>
      </c>
    </row>
    <row r="43" spans="33:37">
      <c r="AG43" s="72"/>
      <c r="AH43" s="30">
        <v>5</v>
      </c>
      <c r="AI43" s="19">
        <f t="shared" si="16"/>
        <v>10</v>
      </c>
      <c r="AJ43" s="30">
        <f t="shared" si="2"/>
        <v>40</v>
      </c>
      <c r="AK43" s="31" t="str">
        <f t="shared" si="3"/>
        <v>10 X 4 = 40</v>
      </c>
    </row>
    <row r="44" spans="33:37">
      <c r="AG44" s="72"/>
      <c r="AH44" s="30">
        <v>6</v>
      </c>
      <c r="AI44" s="19">
        <f t="shared" si="16"/>
        <v>10</v>
      </c>
      <c r="AJ44" s="30">
        <f t="shared" si="2"/>
        <v>50</v>
      </c>
      <c r="AK44" s="31" t="str">
        <f t="shared" si="3"/>
        <v>10 X 5 = 50</v>
      </c>
    </row>
    <row r="45" spans="33:37">
      <c r="AG45" s="72"/>
      <c r="AH45" s="30">
        <v>7</v>
      </c>
      <c r="AI45" s="19">
        <f t="shared" si="16"/>
        <v>10</v>
      </c>
      <c r="AJ45" s="30">
        <f t="shared" si="2"/>
        <v>60</v>
      </c>
      <c r="AK45" s="31" t="str">
        <f t="shared" si="3"/>
        <v>10 X 6 = 60</v>
      </c>
    </row>
    <row r="46" spans="33:37">
      <c r="AG46" s="72"/>
      <c r="AH46" s="30">
        <v>8</v>
      </c>
      <c r="AI46" s="19">
        <f t="shared" si="16"/>
        <v>10</v>
      </c>
      <c r="AJ46" s="30">
        <f t="shared" si="2"/>
        <v>70</v>
      </c>
      <c r="AK46" s="31" t="str">
        <f t="shared" si="3"/>
        <v>10 X 7 = 70</v>
      </c>
    </row>
    <row r="47" spans="33:37">
      <c r="AG47" s="72"/>
      <c r="AH47" s="30">
        <v>9</v>
      </c>
      <c r="AI47" s="19">
        <f t="shared" si="16"/>
        <v>10</v>
      </c>
      <c r="AJ47" s="30">
        <f t="shared" si="2"/>
        <v>80</v>
      </c>
      <c r="AK47" s="31" t="str">
        <f t="shared" si="3"/>
        <v>10 X 8 = 80</v>
      </c>
    </row>
    <row r="48" spans="33:37">
      <c r="AG48" s="72"/>
      <c r="AH48" s="30">
        <v>10</v>
      </c>
      <c r="AI48" s="19">
        <f t="shared" si="16"/>
        <v>10</v>
      </c>
      <c r="AJ48" s="30">
        <f t="shared" si="2"/>
        <v>90</v>
      </c>
      <c r="AK48" s="31" t="str">
        <f t="shared" si="3"/>
        <v>10 X 9 = 90</v>
      </c>
    </row>
    <row r="49" spans="33:37">
      <c r="AG49" s="73"/>
      <c r="AH49" s="56">
        <v>10</v>
      </c>
      <c r="AI49" s="67">
        <f t="shared" si="16"/>
        <v>10</v>
      </c>
      <c r="AJ49" s="56">
        <f t="shared" si="2"/>
        <v>100</v>
      </c>
      <c r="AK49" s="68" t="str">
        <f t="shared" si="3"/>
        <v>10 X 10 = 100</v>
      </c>
    </row>
    <row r="50" spans="33:37">
      <c r="AG50" s="70"/>
      <c r="AH50" s="19"/>
      <c r="AI50" s="19"/>
      <c r="AJ50" s="30"/>
      <c r="AK50" s="31"/>
    </row>
    <row r="51" spans="33:37">
      <c r="AG51" s="71">
        <v>5</v>
      </c>
      <c r="AH51" s="55">
        <v>1</v>
      </c>
      <c r="AI51" s="55">
        <v>0</v>
      </c>
      <c r="AJ51" s="55">
        <v>0</v>
      </c>
      <c r="AK51" s="69" t="s">
        <v>27</v>
      </c>
    </row>
    <row r="52" spans="33:37">
      <c r="AG52" s="72"/>
      <c r="AH52" s="30">
        <v>2</v>
      </c>
      <c r="AI52" s="19">
        <v>16</v>
      </c>
      <c r="AJ52" s="30">
        <f t="shared" si="2"/>
        <v>16</v>
      </c>
      <c r="AK52" s="31" t="str">
        <f t="shared" si="3"/>
        <v>16 X 1 = 16</v>
      </c>
    </row>
    <row r="53" spans="33:37">
      <c r="AG53" s="72"/>
      <c r="AH53" s="30">
        <v>3</v>
      </c>
      <c r="AI53" s="19">
        <f>AI52</f>
        <v>16</v>
      </c>
      <c r="AJ53" s="30">
        <f t="shared" si="2"/>
        <v>32</v>
      </c>
      <c r="AK53" s="31" t="str">
        <f t="shared" si="3"/>
        <v>16 X 2 = 32</v>
      </c>
    </row>
    <row r="54" spans="33:37">
      <c r="AG54" s="72"/>
      <c r="AH54" s="30">
        <v>4</v>
      </c>
      <c r="AI54" s="19">
        <f t="shared" ref="AI54:AI61" si="17">AI53</f>
        <v>16</v>
      </c>
      <c r="AJ54" s="30">
        <f t="shared" si="2"/>
        <v>48</v>
      </c>
      <c r="AK54" s="31" t="str">
        <f t="shared" si="3"/>
        <v>16 X 3 = 48</v>
      </c>
    </row>
    <row r="55" spans="33:37">
      <c r="AG55" s="72"/>
      <c r="AH55" s="30">
        <v>5</v>
      </c>
      <c r="AI55" s="19">
        <f t="shared" si="17"/>
        <v>16</v>
      </c>
      <c r="AJ55" s="30">
        <f t="shared" si="2"/>
        <v>64</v>
      </c>
      <c r="AK55" s="31" t="str">
        <f t="shared" si="3"/>
        <v>16 X 4 = 64</v>
      </c>
    </row>
    <row r="56" spans="33:37">
      <c r="AG56" s="72"/>
      <c r="AH56" s="30">
        <v>6</v>
      </c>
      <c r="AI56" s="19">
        <f t="shared" si="17"/>
        <v>16</v>
      </c>
      <c r="AJ56" s="30">
        <f t="shared" si="2"/>
        <v>80</v>
      </c>
      <c r="AK56" s="31" t="str">
        <f t="shared" si="3"/>
        <v>16 X 5 = 80</v>
      </c>
    </row>
    <row r="57" spans="33:37">
      <c r="AG57" s="72"/>
      <c r="AH57" s="30">
        <v>7</v>
      </c>
      <c r="AI57" s="19">
        <f t="shared" si="17"/>
        <v>16</v>
      </c>
      <c r="AJ57" s="30">
        <f t="shared" si="2"/>
        <v>96</v>
      </c>
      <c r="AK57" s="31" t="str">
        <f t="shared" si="3"/>
        <v>16 X 6 = 96</v>
      </c>
    </row>
    <row r="58" spans="33:37">
      <c r="AG58" s="72"/>
      <c r="AH58" s="30">
        <v>8</v>
      </c>
      <c r="AI58" s="19">
        <f t="shared" si="17"/>
        <v>16</v>
      </c>
      <c r="AJ58" s="30">
        <f t="shared" si="2"/>
        <v>112</v>
      </c>
      <c r="AK58" s="31" t="str">
        <f t="shared" si="3"/>
        <v>16 X 7 = 112</v>
      </c>
    </row>
    <row r="59" spans="33:37">
      <c r="AG59" s="72"/>
      <c r="AH59" s="30">
        <v>9</v>
      </c>
      <c r="AI59" s="19">
        <f t="shared" si="17"/>
        <v>16</v>
      </c>
      <c r="AJ59" s="30">
        <f t="shared" si="2"/>
        <v>128</v>
      </c>
      <c r="AK59" s="31" t="str">
        <f t="shared" si="3"/>
        <v>16 X 8 = 128</v>
      </c>
    </row>
    <row r="60" spans="33:37">
      <c r="AG60" s="72"/>
      <c r="AH60" s="30">
        <v>10</v>
      </c>
      <c r="AI60" s="19">
        <f t="shared" si="17"/>
        <v>16</v>
      </c>
      <c r="AJ60" s="30">
        <f t="shared" si="2"/>
        <v>144</v>
      </c>
      <c r="AK60" s="31" t="str">
        <f t="shared" si="3"/>
        <v>16 X 9 = 144</v>
      </c>
    </row>
    <row r="61" spans="33:37">
      <c r="AG61" s="73"/>
      <c r="AH61" s="56">
        <v>10</v>
      </c>
      <c r="AI61" s="67">
        <f t="shared" si="17"/>
        <v>16</v>
      </c>
      <c r="AJ61" s="56">
        <f t="shared" si="2"/>
        <v>160</v>
      </c>
      <c r="AK61" s="68" t="str">
        <f t="shared" si="3"/>
        <v>16 X 10 = 160</v>
      </c>
    </row>
    <row r="62" spans="33:37">
      <c r="AG62" s="1"/>
      <c r="AH62" s="1"/>
      <c r="AI62" s="1"/>
      <c r="AJ62" s="1"/>
    </row>
    <row r="63" spans="33:37">
      <c r="AG63" s="1"/>
      <c r="AH63" s="1"/>
      <c r="AI63" s="1"/>
      <c r="AJ63" s="1"/>
    </row>
    <row r="64" spans="33:37">
      <c r="AG64" s="1"/>
      <c r="AH64" s="1"/>
      <c r="AI64" s="1"/>
      <c r="AJ64" s="1"/>
    </row>
  </sheetData>
  <mergeCells count="60">
    <mergeCell ref="A1:D1"/>
    <mergeCell ref="A3:A4"/>
    <mergeCell ref="A15:A16"/>
    <mergeCell ref="A12:A13"/>
    <mergeCell ref="A9:A10"/>
    <mergeCell ref="A6:A7"/>
    <mergeCell ref="BA1:BC1"/>
    <mergeCell ref="R1:U1"/>
    <mergeCell ref="V1:X1"/>
    <mergeCell ref="Y1:AC1"/>
    <mergeCell ref="AD1:AF1"/>
    <mergeCell ref="AG1:AK1"/>
    <mergeCell ref="AL1:AN1"/>
    <mergeCell ref="AO1:AQ1"/>
    <mergeCell ref="AR1:AT1"/>
    <mergeCell ref="AU1:AW1"/>
    <mergeCell ref="AX1:AZ1"/>
    <mergeCell ref="E15:E16"/>
    <mergeCell ref="E12:E13"/>
    <mergeCell ref="E9:E10"/>
    <mergeCell ref="E6:E7"/>
    <mergeCell ref="E3:E4"/>
    <mergeCell ref="J15:J16"/>
    <mergeCell ref="E1:I1"/>
    <mergeCell ref="J1:L1"/>
    <mergeCell ref="M1:Q1"/>
    <mergeCell ref="J12:J13"/>
    <mergeCell ref="J9:J10"/>
    <mergeCell ref="J6:J7"/>
    <mergeCell ref="J3:J4"/>
    <mergeCell ref="M3:M6"/>
    <mergeCell ref="M8:M11"/>
    <mergeCell ref="M13:M16"/>
    <mergeCell ref="M18:M21"/>
    <mergeCell ref="M23:M26"/>
    <mergeCell ref="R15:R16"/>
    <mergeCell ref="R12:R13"/>
    <mergeCell ref="R9:R10"/>
    <mergeCell ref="R3:R4"/>
    <mergeCell ref="V15:V16"/>
    <mergeCell ref="V12:V13"/>
    <mergeCell ref="V9:V10"/>
    <mergeCell ref="V6:V7"/>
    <mergeCell ref="V3:V4"/>
    <mergeCell ref="R6:R7"/>
    <mergeCell ref="AD15:AD16"/>
    <mergeCell ref="AD12:AD13"/>
    <mergeCell ref="AD9:AD10"/>
    <mergeCell ref="AD6:AD7"/>
    <mergeCell ref="AD3:AD4"/>
    <mergeCell ref="Y15:Y16"/>
    <mergeCell ref="Y12:Y13"/>
    <mergeCell ref="Y9:Y10"/>
    <mergeCell ref="Y6:Y7"/>
    <mergeCell ref="Y3:Y4"/>
    <mergeCell ref="AG3:AG13"/>
    <mergeCell ref="AG15:AG25"/>
    <mergeCell ref="AG27:AG37"/>
    <mergeCell ref="AG39:AG49"/>
    <mergeCell ref="AG51:AG6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Santamaria</dc:creator>
  <cp:lastModifiedBy>Johan Santamaria</cp:lastModifiedBy>
  <dcterms:created xsi:type="dcterms:W3CDTF">2026-02-05T19:17:25Z</dcterms:created>
  <dcterms:modified xsi:type="dcterms:W3CDTF">2026-02-09T13:35:57Z</dcterms:modified>
</cp:coreProperties>
</file>